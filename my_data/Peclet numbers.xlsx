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Library\Courses\Data Science\Pandas Bootcamp - NU\"/>
    </mc:Choice>
  </mc:AlternateContent>
  <xr:revisionPtr revIDLastSave="0" documentId="13_ncr:1_{B033A519-B7EB-4306-AB8B-F4486E9782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K2" i="1" l="1"/>
  <c r="J2" i="1"/>
  <c r="C2" i="1"/>
  <c r="C3" i="1"/>
  <c r="J3" i="1"/>
  <c r="K3" i="1"/>
  <c r="K6" i="1"/>
  <c r="C6" i="1"/>
  <c r="K4" i="1"/>
  <c r="J4" i="1"/>
  <c r="C4" i="1"/>
  <c r="C7" i="1"/>
  <c r="C8" i="1"/>
  <c r="C9" i="1"/>
  <c r="C10" i="1"/>
  <c r="C11" i="1"/>
  <c r="C5" i="1"/>
  <c r="L6" i="1" l="1"/>
  <c r="M6" i="1" s="1"/>
  <c r="L4" i="1"/>
  <c r="M4" i="1" s="1"/>
  <c r="L2" i="1"/>
  <c r="N2" i="1" s="1"/>
  <c r="O2" i="1" s="1"/>
  <c r="P2" i="1" s="1"/>
  <c r="L3" i="1"/>
  <c r="M3" i="1" s="1"/>
  <c r="J9" i="1"/>
  <c r="K9" i="1"/>
  <c r="J8" i="1"/>
  <c r="K8" i="1"/>
  <c r="J11" i="1"/>
  <c r="K11" i="1"/>
  <c r="J10" i="1"/>
  <c r="K10" i="1"/>
  <c r="N6" i="1" l="1"/>
  <c r="O6" i="1" s="1"/>
  <c r="P6" i="1" s="1"/>
  <c r="N4" i="1"/>
  <c r="O4" i="1" s="1"/>
  <c r="P4" i="1" s="1"/>
  <c r="N3" i="1"/>
  <c r="O3" i="1" s="1"/>
  <c r="P3" i="1" s="1"/>
  <c r="M2" i="1"/>
  <c r="L9" i="1"/>
  <c r="N9" i="1" s="1"/>
  <c r="O9" i="1" s="1"/>
  <c r="P9" i="1" s="1"/>
  <c r="L8" i="1"/>
  <c r="M8" i="1" s="1"/>
  <c r="L11" i="1"/>
  <c r="M11" i="1" s="1"/>
  <c r="L10" i="1"/>
  <c r="N10" i="1" s="1"/>
  <c r="O10" i="1" s="1"/>
  <c r="P10" i="1" s="1"/>
  <c r="M9" i="1" l="1"/>
  <c r="N8" i="1"/>
  <c r="O8" i="1" s="1"/>
  <c r="P8" i="1" s="1"/>
  <c r="M10" i="1"/>
  <c r="N11" i="1"/>
  <c r="O11" i="1" s="1"/>
  <c r="P11" i="1" s="1"/>
  <c r="J7" i="1" l="1"/>
  <c r="K7" i="1"/>
  <c r="K5" i="1"/>
  <c r="J5" i="1"/>
  <c r="L5" i="1" l="1"/>
  <c r="N5" i="1" s="1"/>
  <c r="O5" i="1" s="1"/>
  <c r="P5" i="1" s="1"/>
  <c r="L7" i="1"/>
  <c r="M7" i="1" s="1"/>
  <c r="M5" i="1" l="1"/>
  <c r="N7" i="1"/>
  <c r="O7" i="1" s="1"/>
  <c r="P7" i="1" s="1"/>
</calcChain>
</file>

<file path=xl/sharedStrings.xml><?xml version="1.0" encoding="utf-8"?>
<sst xmlns="http://schemas.openxmlformats.org/spreadsheetml/2006/main" count="26" uniqueCount="19">
  <si>
    <t>Hmc [µm]</t>
  </si>
  <si>
    <t>Wmc [µm]</t>
  </si>
  <si>
    <t>Q [ul/h]</t>
  </si>
  <si>
    <t>D [um^2/s]</t>
  </si>
  <si>
    <t>c0 [M]</t>
  </si>
  <si>
    <t>JD [mol/s]</t>
  </si>
  <si>
    <t>JD [molecules/s]</t>
  </si>
  <si>
    <t>PeH</t>
  </si>
  <si>
    <t>Ls/Hmc</t>
  </si>
  <si>
    <t>PeS</t>
  </si>
  <si>
    <t>F</t>
  </si>
  <si>
    <t>δs [um]</t>
  </si>
  <si>
    <t>CAS</t>
  </si>
  <si>
    <t>Flow cell</t>
  </si>
  <si>
    <t>PLL (common channel)</t>
  </si>
  <si>
    <t>PLL (indiv. channel)</t>
  </si>
  <si>
    <t>Ls (Wtc) [µm]</t>
  </si>
  <si>
    <t>Ws (Ltc) [µm]</t>
  </si>
  <si>
    <t>Q [ul/min]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</si>
</sst>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1" fontId="0" fillId="2" borderId="0" xfId="0" applyNumberFormat="1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sqref="A1:P11"/>
    </sheetView>
  </sheetViews>
  <sheetFormatPr defaultRowHeight="14.4" x14ac:dyDescent="0.3"/>
  <cols>
    <col min="1" max="1" width="20.88671875" customWidth="1"/>
    <col min="2" max="2" width="7.6640625" customWidth="1"/>
    <col min="3" max="3" width="9.6640625" customWidth="1"/>
    <col min="4" max="4" width="12.6640625" customWidth="1"/>
    <col min="5" max="5" width="12.88671875" customWidth="1"/>
    <col min="6" max="6" width="9.33203125" customWidth="1"/>
    <col min="7" max="7" width="10" customWidth="1"/>
    <col min="8" max="8" width="11" customWidth="1"/>
    <col min="10" max="10" width="5.5546875" customWidth="1"/>
    <col min="12" max="12" width="9.109375" customWidth="1"/>
    <col min="13" max="13" width="9.44140625" customWidth="1"/>
    <col min="14" max="14" width="8.44140625" customWidth="1"/>
    <col min="15" max="15" width="9.6640625" customWidth="1"/>
    <col min="16" max="16" width="22" customWidth="1"/>
  </cols>
  <sheetData>
    <row r="1" spans="1:17" x14ac:dyDescent="0.3">
      <c r="A1" s="3" t="s">
        <v>13</v>
      </c>
      <c r="B1" s="3" t="s">
        <v>2</v>
      </c>
      <c r="C1" s="3" t="s">
        <v>18</v>
      </c>
      <c r="D1" s="3" t="s">
        <v>16</v>
      </c>
      <c r="E1" s="3" t="s">
        <v>17</v>
      </c>
      <c r="F1" s="3" t="s">
        <v>0</v>
      </c>
      <c r="G1" s="3" t="s">
        <v>1</v>
      </c>
      <c r="H1" s="3" t="s">
        <v>3</v>
      </c>
      <c r="I1" s="2" t="s">
        <v>4</v>
      </c>
      <c r="J1" s="2" t="s">
        <v>7</v>
      </c>
      <c r="K1" s="2" t="s">
        <v>8</v>
      </c>
      <c r="L1" s="2" t="s">
        <v>9</v>
      </c>
      <c r="M1" s="2" t="s">
        <v>11</v>
      </c>
      <c r="N1" s="2" t="s">
        <v>10</v>
      </c>
      <c r="O1" s="2" t="s">
        <v>5</v>
      </c>
      <c r="P1" s="2" t="s">
        <v>6</v>
      </c>
      <c r="Q1" s="2"/>
    </row>
    <row r="2" spans="1:17" x14ac:dyDescent="0.3">
      <c r="A2" s="3" t="s">
        <v>12</v>
      </c>
      <c r="B2" s="3">
        <v>500</v>
      </c>
      <c r="C2" s="3">
        <f>B2/60</f>
        <v>8.3333333333333339</v>
      </c>
      <c r="D2" s="3">
        <v>194400</v>
      </c>
      <c r="E2" s="3">
        <v>80</v>
      </c>
      <c r="F2" s="3">
        <v>25</v>
      </c>
      <c r="G2" s="3">
        <v>6000</v>
      </c>
      <c r="H2" s="3">
        <v>7000</v>
      </c>
      <c r="I2" s="1">
        <v>1.0000000000000001E-15</v>
      </c>
      <c r="J2" s="2">
        <f t="shared" ref="J2" si="0">((B2/3600)/(G2*H2))*10^9</f>
        <v>3.306878306878307</v>
      </c>
      <c r="K2" s="2">
        <f t="shared" ref="K2" si="1">D2/F2</f>
        <v>7776</v>
      </c>
      <c r="L2" s="1">
        <f t="shared" ref="L2" si="2">6*K2^2*J2</f>
        <v>1199725714.2857144</v>
      </c>
      <c r="M2" s="2">
        <f t="shared" ref="M2" si="3">D2/L2^(1/3)</f>
        <v>182.95134422667365</v>
      </c>
      <c r="N2" s="2">
        <f t="shared" ref="N2" si="4">0.81*L2^(1/3)</f>
        <v>860.68785482606097</v>
      </c>
      <c r="O2" s="1">
        <f t="shared" ref="O2" si="5">H2*I2*E2*N2*10^(-15)</f>
        <v>4.8198519870259413E-22</v>
      </c>
      <c r="P2" s="2">
        <f t="shared" ref="P2:P11" si="6">O2*6*10^23</f>
        <v>289.19111922155645</v>
      </c>
      <c r="Q2" s="2"/>
    </row>
    <row r="3" spans="1:17" x14ac:dyDescent="0.3">
      <c r="A3" s="3" t="s">
        <v>12</v>
      </c>
      <c r="B3" s="3">
        <v>1200</v>
      </c>
      <c r="C3" s="3">
        <f>B3/60</f>
        <v>20</v>
      </c>
      <c r="D3" s="3">
        <v>194400</v>
      </c>
      <c r="E3" s="3">
        <v>80</v>
      </c>
      <c r="F3" s="3">
        <v>125</v>
      </c>
      <c r="G3" s="3">
        <v>6000</v>
      </c>
      <c r="H3" s="3">
        <v>7000</v>
      </c>
      <c r="I3" s="1">
        <v>1.0000000000000001E-15</v>
      </c>
      <c r="J3" s="2">
        <f t="shared" ref="J3" si="7">((B3/3600)/(G3*H3))*10^9</f>
        <v>7.9365079365079358</v>
      </c>
      <c r="K3" s="2">
        <f t="shared" ref="K3" si="8">D3/F3</f>
        <v>1555.2</v>
      </c>
      <c r="L3" s="1">
        <f t="shared" ref="L3" si="9">6*K3^2*J3</f>
        <v>115173668.57142857</v>
      </c>
      <c r="M3" s="2">
        <f t="shared" ref="M3" si="10">D3/L3^(1/3)</f>
        <v>399.55680078417026</v>
      </c>
      <c r="N3" s="2">
        <f t="shared" ref="N3" si="11">0.81*L3^(1/3)</f>
        <v>394.09665832482671</v>
      </c>
      <c r="O3" s="1">
        <f t="shared" ref="O3" si="12">H3*I3*E3*N3*10^(-15)</f>
        <v>2.2069412866190296E-22</v>
      </c>
      <c r="P3" s="2">
        <f t="shared" si="6"/>
        <v>132.41647719714177</v>
      </c>
      <c r="Q3" s="2"/>
    </row>
    <row r="4" spans="1:17" x14ac:dyDescent="0.3">
      <c r="A4" s="3" t="s">
        <v>12</v>
      </c>
      <c r="B4" s="3">
        <v>2400</v>
      </c>
      <c r="C4" s="3">
        <f>B4/60</f>
        <v>40</v>
      </c>
      <c r="D4" s="3">
        <v>194400</v>
      </c>
      <c r="E4" s="3">
        <v>80</v>
      </c>
      <c r="F4" s="3">
        <v>120</v>
      </c>
      <c r="G4" s="3">
        <v>6000</v>
      </c>
      <c r="H4" s="3">
        <v>7000</v>
      </c>
      <c r="I4" s="1">
        <v>1.0000000000000001E-15</v>
      </c>
      <c r="J4" s="2">
        <f t="shared" ref="J4:J11" si="13">((B4/3600)/(G4*H4))*10^9</f>
        <v>15.873015873015872</v>
      </c>
      <c r="K4" s="2">
        <f t="shared" ref="K4:K11" si="14">D4/F4</f>
        <v>1620</v>
      </c>
      <c r="L4" s="1">
        <f t="shared" ref="L4:L11" si="15">6*K4^2*J4</f>
        <v>249942857.14285713</v>
      </c>
      <c r="M4" s="2">
        <f t="shared" ref="M4:M11" si="16">D4/L4^(1/3)</f>
        <v>308.61427976328224</v>
      </c>
      <c r="N4" s="2">
        <f t="shared" ref="N4:N11" si="17">0.81*L4^(1/3)</f>
        <v>510.22914468112202</v>
      </c>
      <c r="O4" s="1">
        <f t="shared" ref="O4:O11" si="18">H4*I4*E4*N4*10^(-15)</f>
        <v>2.8572832102142835E-22</v>
      </c>
      <c r="P4" s="2">
        <f t="shared" si="6"/>
        <v>171.43699261285698</v>
      </c>
      <c r="Q4" s="2"/>
    </row>
    <row r="5" spans="1:17" x14ac:dyDescent="0.3">
      <c r="A5" s="3" t="s">
        <v>12</v>
      </c>
      <c r="B5" s="3">
        <v>1200</v>
      </c>
      <c r="C5" s="3">
        <f>B5/60</f>
        <v>20</v>
      </c>
      <c r="D5" s="3">
        <v>194400</v>
      </c>
      <c r="E5" s="3">
        <v>80</v>
      </c>
      <c r="F5" s="3">
        <v>120</v>
      </c>
      <c r="G5" s="3">
        <v>6000</v>
      </c>
      <c r="H5" s="3">
        <v>7000</v>
      </c>
      <c r="I5" s="1">
        <v>1.0000000000000001E-15</v>
      </c>
      <c r="J5" s="2">
        <f>((B5/3600)/(G5*H5))*10^9</f>
        <v>7.9365079365079358</v>
      </c>
      <c r="K5" s="2">
        <f>D5/F5</f>
        <v>1620</v>
      </c>
      <c r="L5" s="1">
        <f>6*K5^2*J5</f>
        <v>124971428.57142857</v>
      </c>
      <c r="M5" s="2">
        <f>D5/L5^(1/3)</f>
        <v>388.82962737190456</v>
      </c>
      <c r="N5" s="2">
        <f>0.81*L5^(1/3)</f>
        <v>404.96914050582399</v>
      </c>
      <c r="O5" s="1">
        <f>H5*I5*E5*N5*10^(-15)</f>
        <v>2.2678271868326144E-22</v>
      </c>
      <c r="P5" s="2">
        <f>O5*6*10^23</f>
        <v>136.06963120995684</v>
      </c>
      <c r="Q5" s="2"/>
    </row>
    <row r="6" spans="1:17" x14ac:dyDescent="0.3">
      <c r="A6" s="4" t="s">
        <v>12</v>
      </c>
      <c r="B6" s="4">
        <v>2400</v>
      </c>
      <c r="C6" s="4">
        <f>B6/60</f>
        <v>40</v>
      </c>
      <c r="D6" s="4">
        <v>194400</v>
      </c>
      <c r="E6" s="4">
        <v>80</v>
      </c>
      <c r="F6" s="4">
        <v>3000</v>
      </c>
      <c r="G6" s="4">
        <v>6000</v>
      </c>
      <c r="H6" s="4">
        <v>7000</v>
      </c>
      <c r="I6" s="5">
        <v>1.0000000000000001E-15</v>
      </c>
      <c r="J6" s="6">
        <f>((B6/3600)/(G6*H6))*10^9</f>
        <v>15.873015873015872</v>
      </c>
      <c r="K6" s="6">
        <f t="shared" si="14"/>
        <v>64.8</v>
      </c>
      <c r="L6" s="5">
        <f t="shared" si="15"/>
        <v>399908.57142857136</v>
      </c>
      <c r="M6" s="6">
        <f t="shared" si="16"/>
        <v>2638.6149759808291</v>
      </c>
      <c r="N6" s="6">
        <f t="shared" si="17"/>
        <v>59.676762784031162</v>
      </c>
      <c r="O6" s="5">
        <f t="shared" si="18"/>
        <v>3.3418987159057456E-23</v>
      </c>
      <c r="P6" s="6">
        <f t="shared" si="6"/>
        <v>20.051392295434471</v>
      </c>
      <c r="Q6" s="2"/>
    </row>
    <row r="7" spans="1:17" x14ac:dyDescent="0.3">
      <c r="A7" s="4" t="s">
        <v>12</v>
      </c>
      <c r="B7" s="4">
        <v>2400</v>
      </c>
      <c r="C7" s="4">
        <f t="shared" ref="C7:C11" si="19">B7/60</f>
        <v>40</v>
      </c>
      <c r="D7" s="4">
        <v>194400</v>
      </c>
      <c r="E7" s="4">
        <v>80</v>
      </c>
      <c r="F7" s="4">
        <v>120</v>
      </c>
      <c r="G7" s="4">
        <v>6000</v>
      </c>
      <c r="H7" s="4">
        <v>7000</v>
      </c>
      <c r="I7" s="5">
        <v>1.0000000000000001E-15</v>
      </c>
      <c r="J7" s="6">
        <f t="shared" si="13"/>
        <v>15.873015873015872</v>
      </c>
      <c r="K7" s="6">
        <f t="shared" si="14"/>
        <v>1620</v>
      </c>
      <c r="L7" s="5">
        <f t="shared" si="15"/>
        <v>249942857.14285713</v>
      </c>
      <c r="M7" s="6">
        <f t="shared" si="16"/>
        <v>308.61427976328224</v>
      </c>
      <c r="N7" s="6">
        <f t="shared" si="17"/>
        <v>510.22914468112202</v>
      </c>
      <c r="O7" s="5">
        <f t="shared" si="18"/>
        <v>2.8572832102142835E-22</v>
      </c>
      <c r="P7" s="6">
        <f t="shared" si="6"/>
        <v>171.43699261285698</v>
      </c>
      <c r="Q7" s="2"/>
    </row>
    <row r="8" spans="1:17" x14ac:dyDescent="0.3">
      <c r="A8" s="3" t="s">
        <v>15</v>
      </c>
      <c r="B8" s="3">
        <v>500</v>
      </c>
      <c r="C8" s="3">
        <f t="shared" si="19"/>
        <v>8.3333333333333339</v>
      </c>
      <c r="D8" s="3">
        <v>1000</v>
      </c>
      <c r="E8" s="3">
        <v>20</v>
      </c>
      <c r="F8" s="3">
        <v>25</v>
      </c>
      <c r="G8" s="3">
        <v>500</v>
      </c>
      <c r="H8" s="3">
        <v>7000</v>
      </c>
      <c r="I8" s="1">
        <v>1.0000000000000001E-15</v>
      </c>
      <c r="J8" s="2">
        <f t="shared" si="13"/>
        <v>39.682539682539684</v>
      </c>
      <c r="K8" s="2">
        <f t="shared" si="14"/>
        <v>40</v>
      </c>
      <c r="L8" s="1">
        <f t="shared" si="15"/>
        <v>380952.38095238095</v>
      </c>
      <c r="M8" s="2">
        <f t="shared" si="16"/>
        <v>13.794620881905603</v>
      </c>
      <c r="N8" s="2">
        <f t="shared" si="17"/>
        <v>58.718540142156186</v>
      </c>
      <c r="O8" s="1">
        <f t="shared" si="18"/>
        <v>8.2205956199018664E-24</v>
      </c>
      <c r="P8" s="2">
        <f t="shared" si="6"/>
        <v>4.9323573719411193</v>
      </c>
      <c r="Q8" s="2"/>
    </row>
    <row r="9" spans="1:17" x14ac:dyDescent="0.3">
      <c r="A9" s="3" t="s">
        <v>15</v>
      </c>
      <c r="B9" s="3">
        <v>50</v>
      </c>
      <c r="C9" s="3">
        <f t="shared" si="19"/>
        <v>0.83333333333333337</v>
      </c>
      <c r="D9" s="3">
        <v>1000</v>
      </c>
      <c r="E9" s="3">
        <v>20</v>
      </c>
      <c r="F9" s="3">
        <v>25</v>
      </c>
      <c r="G9" s="3">
        <v>500</v>
      </c>
      <c r="H9" s="3">
        <v>7000</v>
      </c>
      <c r="I9" s="1">
        <v>1.0000000000000001E-15</v>
      </c>
      <c r="J9" s="2">
        <f t="shared" si="13"/>
        <v>3.9682539682539679</v>
      </c>
      <c r="K9" s="2">
        <f t="shared" si="14"/>
        <v>40</v>
      </c>
      <c r="L9" s="1">
        <f t="shared" si="15"/>
        <v>38095.238095238092</v>
      </c>
      <c r="M9" s="2">
        <f t="shared" si="16"/>
        <v>29.719609763815662</v>
      </c>
      <c r="N9" s="2">
        <f t="shared" si="17"/>
        <v>27.254732024987572</v>
      </c>
      <c r="O9" s="1">
        <f t="shared" si="18"/>
        <v>3.8156624834982608E-24</v>
      </c>
      <c r="P9" s="2">
        <f t="shared" si="6"/>
        <v>2.2893974900989562</v>
      </c>
      <c r="Q9" s="2"/>
    </row>
    <row r="10" spans="1:17" x14ac:dyDescent="0.3">
      <c r="A10" s="3" t="s">
        <v>14</v>
      </c>
      <c r="B10" s="3">
        <v>500</v>
      </c>
      <c r="C10" s="3">
        <f t="shared" si="19"/>
        <v>8.3333333333333339</v>
      </c>
      <c r="D10" s="3">
        <v>4000</v>
      </c>
      <c r="E10" s="3">
        <v>20</v>
      </c>
      <c r="F10" s="3">
        <v>25</v>
      </c>
      <c r="G10" s="3">
        <v>500</v>
      </c>
      <c r="H10" s="3">
        <v>7000</v>
      </c>
      <c r="I10" s="1">
        <v>1.0000000000000001E-15</v>
      </c>
      <c r="J10" s="2">
        <f t="shared" si="13"/>
        <v>39.682539682539684</v>
      </c>
      <c r="K10" s="2">
        <f t="shared" si="14"/>
        <v>160</v>
      </c>
      <c r="L10" s="1">
        <f t="shared" si="15"/>
        <v>6095238.0952380951</v>
      </c>
      <c r="M10" s="2">
        <f t="shared" si="16"/>
        <v>21.897595699439449</v>
      </c>
      <c r="N10" s="2">
        <f t="shared" si="17"/>
        <v>147.96144948839932</v>
      </c>
      <c r="O10" s="1">
        <f t="shared" si="18"/>
        <v>2.0714602928375908E-23</v>
      </c>
      <c r="P10" s="2">
        <f t="shared" si="6"/>
        <v>12.428761757025544</v>
      </c>
      <c r="Q10" s="2"/>
    </row>
    <row r="11" spans="1:17" x14ac:dyDescent="0.3">
      <c r="A11" s="3" t="s">
        <v>14</v>
      </c>
      <c r="B11" s="3">
        <v>50</v>
      </c>
      <c r="C11" s="3">
        <f t="shared" si="19"/>
        <v>0.83333333333333337</v>
      </c>
      <c r="D11" s="3">
        <v>4000</v>
      </c>
      <c r="E11" s="3">
        <v>20</v>
      </c>
      <c r="F11" s="3">
        <v>25</v>
      </c>
      <c r="G11" s="3">
        <v>500</v>
      </c>
      <c r="H11" s="3">
        <v>7000</v>
      </c>
      <c r="I11" s="1">
        <v>1.0000000000000001E-15</v>
      </c>
      <c r="J11" s="2">
        <f t="shared" si="13"/>
        <v>3.9682539682539679</v>
      </c>
      <c r="K11" s="2">
        <f t="shared" si="14"/>
        <v>160</v>
      </c>
      <c r="L11" s="1">
        <f t="shared" si="15"/>
        <v>609523.80952380947</v>
      </c>
      <c r="M11" s="2">
        <f t="shared" si="16"/>
        <v>47.17693980316534</v>
      </c>
      <c r="N11" s="2">
        <f t="shared" si="17"/>
        <v>68.677621175051556</v>
      </c>
      <c r="O11" s="1">
        <f t="shared" si="18"/>
        <v>9.6148669645072181E-24</v>
      </c>
      <c r="P11" s="2">
        <f t="shared" si="6"/>
        <v>5.76892017870433</v>
      </c>
      <c r="Q11" s="2"/>
    </row>
    <row r="12" spans="1:17" x14ac:dyDescent="0.3">
      <c r="Q12" s="2"/>
    </row>
    <row r="13" spans="1:17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Simatos, Dimitrios</cp:lastModifiedBy>
  <dcterms:created xsi:type="dcterms:W3CDTF">2017-06-21T10:08:31Z</dcterms:created>
  <dcterms:modified xsi:type="dcterms:W3CDTF">2024-06-27T15:09:12Z</dcterms:modified>
</cp:coreProperties>
</file>